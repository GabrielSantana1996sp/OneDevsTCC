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D:\Tuji\PTCC\"/>
    </mc:Choice>
  </mc:AlternateContent>
  <xr:revisionPtr revIDLastSave="0" documentId="13_ncr:1_{3288A791-E571-4801-9919-D946038D01CE}" xr6:coauthVersionLast="47" xr6:coauthVersionMax="47" xr10:uidLastSave="{00000000-0000-0000-0000-000000000000}"/>
  <bookViews>
    <workbookView xWindow="0" yWindow="0" windowWidth="14130" windowHeight="11580" xr2:uid="{00000000-000D-0000-FFFF-FFFF00000000}"/>
  </bookViews>
  <sheets>
    <sheet name="Atividades" sheetId="1" r:id="rId1"/>
    <sheet name="Burndown impressão color" sheetId="2" r:id="rId2"/>
    <sheet name="Burndown impressão pb" sheetId="3" r:id="rId3"/>
  </sheets>
  <definedNames>
    <definedName name="Restante">OFFSET(Atividades!#REF!,0,0,1,COUNT(Atividades!#REF!))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B2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C21" i="1" l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</calcChain>
</file>

<file path=xl/sharedStrings.xml><?xml version="1.0" encoding="utf-8"?>
<sst xmlns="http://schemas.openxmlformats.org/spreadsheetml/2006/main" count="17" uniqueCount="17">
  <si>
    <t>Tarefa</t>
  </si>
  <si>
    <t>Total de atividades</t>
  </si>
  <si>
    <t>Grupos, Integrantes e Projetos</t>
  </si>
  <si>
    <t>Papéis e Responsabilidade</t>
  </si>
  <si>
    <t xml:space="preserve">Estudo Cenário Profissional </t>
  </si>
  <si>
    <t>Normas e Regulamentos</t>
  </si>
  <si>
    <t>Fundamentação</t>
  </si>
  <si>
    <t>Cronograma</t>
  </si>
  <si>
    <t>Pesquisa de Campo</t>
  </si>
  <si>
    <t>Problematização</t>
  </si>
  <si>
    <t>Objetivos</t>
  </si>
  <si>
    <t>Escola de Inovadores</t>
  </si>
  <si>
    <t>Apresentação pré banca</t>
  </si>
  <si>
    <t>Demo Day</t>
  </si>
  <si>
    <t>Entrega do ppt no teams</t>
  </si>
  <si>
    <t>Estimado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</si>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</sst>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d\-mm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0" xfId="0" applyFont="1"/>
    <xf numFmtId="1" fontId="0" fillId="0" borderId="1" xfId="1" applyNumberFormat="1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" fontId="1" fillId="2" borderId="3" xfId="0" applyNumberFormat="1" applyFont="1" applyFill="1" applyBorder="1" applyAlignment="1">
      <alignment horizontal="center"/>
    </xf>
    <xf numFmtId="0" fontId="0" fillId="2" borderId="1" xfId="0" applyFill="1" applyBorder="1"/>
    <xf numFmtId="1" fontId="0" fillId="2" borderId="1" xfId="1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0"/>
          <c:order val="0"/>
          <c:tx>
            <c:strRef>
              <c:f>Atividades!$A$22</c:f>
              <c:strCache>
                <c:ptCount val="1"/>
                <c:pt idx="0">
                  <c:v>Restante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Atividades!$B$21:$U$21</c:f>
              <c:numCache>
                <c:formatCode>0</c:formatCode>
                <c:ptCount val="20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</c:v>
                </c:pt>
                <c:pt idx="5">
                  <c:v>21.368421052631575</c:v>
                </c:pt>
                <c:pt idx="6">
                  <c:v>19.84210526315789</c:v>
                </c:pt>
                <c:pt idx="7">
                  <c:v>18.315789473684205</c:v>
                </c:pt>
                <c:pt idx="8">
                  <c:v>16.78947368421052</c:v>
                </c:pt>
                <c:pt idx="9">
                  <c:v>15.263157894736835</c:v>
                </c:pt>
                <c:pt idx="10">
                  <c:v>13.73684210526315</c:v>
                </c:pt>
                <c:pt idx="11">
                  <c:v>12.210526315789465</c:v>
                </c:pt>
                <c:pt idx="12">
                  <c:v>10.68421052631578</c:v>
                </c:pt>
                <c:pt idx="13">
                  <c:v>9.1578947368420955</c:v>
                </c:pt>
                <c:pt idx="14">
                  <c:v>7.6315789473684115</c:v>
                </c:pt>
                <c:pt idx="15">
                  <c:v>6.1052631578947274</c:v>
                </c:pt>
                <c:pt idx="16">
                  <c:v>4.5789473684210433</c:v>
                </c:pt>
                <c:pt idx="17">
                  <c:v>3.0526315789473593</c:v>
                </c:pt>
                <c:pt idx="18">
                  <c:v>1.526315789473675</c:v>
                </c:pt>
                <c:pt idx="19">
                  <c:v>-9.3258734068513149E-15</c:v>
                </c:pt>
              </c:numCache>
            </c:numRef>
          </c:cat>
          <c:val>
            <c:numRef>
              <c:f>Atividades!$B$22:$U$22</c:f>
              <c:numCache>
                <c:formatCode>General</c:formatCode>
                <c:ptCount val="2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27</c:v>
                </c:pt>
                <c:pt idx="6">
                  <c:v>24</c:v>
                </c:pt>
                <c:pt idx="7">
                  <c:v>20</c:v>
                </c:pt>
                <c:pt idx="8">
                  <c:v>16</c:v>
                </c:pt>
                <c:pt idx="9">
                  <c:v>13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961-4763-8143-E58B88A1AD1B}"/>
            </c:ext>
          </c:extLst>
        </c:ser>
        <c:ser>
          <c:idx val="0"/>
          <c:order val="1"/>
          <c:tx>
            <c:strRef>
              <c:f>Atividades!$A$21</c:f>
              <c:strCache>
                <c:ptCount val="1"/>
                <c:pt idx="0">
                  <c:v>Estimado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Atividades!$B$21:$U$21</c:f>
              <c:numCache>
                <c:formatCode>0</c:formatCode>
                <c:ptCount val="20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</c:v>
                </c:pt>
                <c:pt idx="5">
                  <c:v>21.368421052631575</c:v>
                </c:pt>
                <c:pt idx="6">
                  <c:v>19.84210526315789</c:v>
                </c:pt>
                <c:pt idx="7">
                  <c:v>18.315789473684205</c:v>
                </c:pt>
                <c:pt idx="8">
                  <c:v>16.78947368421052</c:v>
                </c:pt>
                <c:pt idx="9">
                  <c:v>15.263157894736835</c:v>
                </c:pt>
                <c:pt idx="10">
                  <c:v>13.73684210526315</c:v>
                </c:pt>
                <c:pt idx="11">
                  <c:v>12.210526315789465</c:v>
                </c:pt>
                <c:pt idx="12">
                  <c:v>10.68421052631578</c:v>
                </c:pt>
                <c:pt idx="13">
                  <c:v>9.1578947368420955</c:v>
                </c:pt>
                <c:pt idx="14">
                  <c:v>7.6315789473684115</c:v>
                </c:pt>
                <c:pt idx="15">
                  <c:v>6.1052631578947274</c:v>
                </c:pt>
                <c:pt idx="16">
                  <c:v>4.5789473684210433</c:v>
                </c:pt>
                <c:pt idx="17">
                  <c:v>3.0526315789473593</c:v>
                </c:pt>
                <c:pt idx="18">
                  <c:v>1.526315789473675</c:v>
                </c:pt>
                <c:pt idx="19">
                  <c:v>-9.3258734068513149E-15</c:v>
                </c:pt>
              </c:numCache>
            </c:numRef>
          </c:cat>
          <c:val>
            <c:numRef>
              <c:f>Atividades!$B$21:$U$21</c:f>
              <c:numCache>
                <c:formatCode>0</c:formatCode>
                <c:ptCount val="20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</c:v>
                </c:pt>
                <c:pt idx="5">
                  <c:v>21.368421052631575</c:v>
                </c:pt>
                <c:pt idx="6">
                  <c:v>19.84210526315789</c:v>
                </c:pt>
                <c:pt idx="7">
                  <c:v>18.315789473684205</c:v>
                </c:pt>
                <c:pt idx="8">
                  <c:v>16.78947368421052</c:v>
                </c:pt>
                <c:pt idx="9">
                  <c:v>15.263157894736835</c:v>
                </c:pt>
                <c:pt idx="10">
                  <c:v>13.73684210526315</c:v>
                </c:pt>
                <c:pt idx="11">
                  <c:v>12.210526315789465</c:v>
                </c:pt>
                <c:pt idx="12">
                  <c:v>10.68421052631578</c:v>
                </c:pt>
                <c:pt idx="13">
                  <c:v>9.1578947368420955</c:v>
                </c:pt>
                <c:pt idx="14">
                  <c:v>7.6315789473684115</c:v>
                </c:pt>
                <c:pt idx="15">
                  <c:v>6.1052631578947274</c:v>
                </c:pt>
                <c:pt idx="16">
                  <c:v>4.5789473684210433</c:v>
                </c:pt>
                <c:pt idx="17">
                  <c:v>3.0526315789473593</c:v>
                </c:pt>
                <c:pt idx="18">
                  <c:v>1.526315789473675</c:v>
                </c:pt>
                <c:pt idx="19">
                  <c:v>-9.3258734068513149E-15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961-4763-8143-E58B88A1AD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5442608"/>
        <c:axId val="385442936"/>
      </c:lineChart>
      <c:catAx>
        <c:axId val="3854426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442936"/>
        <c:crosses val="autoZero"/>
        <c:auto val="1"/>
        <c:lblAlgn val="ctr"/>
        <c:lblOffset val="100"/>
        <c:noMultiLvlLbl val="0"/>
      </c:catAx>
      <c:valAx>
        <c:axId val="38544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442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9"/>
          <c:order val="0"/>
          <c:tx>
            <c:strRef>
              <c:f>Atividades!$A$21</c:f>
              <c:strCache>
                <c:ptCount val="1"/>
                <c:pt idx="0">
                  <c:v>Estimado</c:v>
                </c:pt>
              </c:strCache>
            </c:strRef>
          </c:tx>
          <c:spPr>
            <a:ln w="317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Atividades!$B$1:$U$1</c:f>
              <c:strCache>
                <c:ptCount val="20"/>
                <c:pt idx="0">
                  <c:v>Total de atividades</c:v>
                </c:pt>
                <c:pt idx="1">
                  <c:v>23-jul</c:v>
                </c:pt>
                <c:pt idx="2">
                  <c:v>30/jul</c:v>
                </c:pt>
                <c:pt idx="3">
                  <c:v>06/ago</c:v>
                </c:pt>
                <c:pt idx="4">
                  <c:v>13/ago</c:v>
                </c:pt>
                <c:pt idx="5">
                  <c:v>20/ago</c:v>
                </c:pt>
                <c:pt idx="6">
                  <c:v>27/ago</c:v>
                </c:pt>
                <c:pt idx="7">
                  <c:v>03/set</c:v>
                </c:pt>
                <c:pt idx="8">
                  <c:v>10/set</c:v>
                </c:pt>
                <c:pt idx="9">
                  <c:v>17/set</c:v>
                </c:pt>
                <c:pt idx="10">
                  <c:v>24/set</c:v>
                </c:pt>
                <c:pt idx="11">
                  <c:v>01/out</c:v>
                </c:pt>
                <c:pt idx="12">
                  <c:v>08/out</c:v>
                </c:pt>
                <c:pt idx="13">
                  <c:v>15/out</c:v>
                </c:pt>
                <c:pt idx="14">
                  <c:v>22/out</c:v>
                </c:pt>
                <c:pt idx="15">
                  <c:v>29/out</c:v>
                </c:pt>
                <c:pt idx="16">
                  <c:v>05/nov</c:v>
                </c:pt>
                <c:pt idx="17">
                  <c:v>12/nov</c:v>
                </c:pt>
                <c:pt idx="18">
                  <c:v>26/nov</c:v>
                </c:pt>
                <c:pt idx="19">
                  <c:v>03/dez</c:v>
                </c:pt>
              </c:strCache>
            </c:strRef>
          </c:cat>
          <c:val>
            <c:numRef>
              <c:f>Atividades!$B$21:$U$21</c:f>
              <c:numCache>
                <c:formatCode>0</c:formatCode>
                <c:ptCount val="20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</c:v>
                </c:pt>
                <c:pt idx="5">
                  <c:v>21.368421052631575</c:v>
                </c:pt>
                <c:pt idx="6">
                  <c:v>19.84210526315789</c:v>
                </c:pt>
                <c:pt idx="7">
                  <c:v>18.315789473684205</c:v>
                </c:pt>
                <c:pt idx="8">
                  <c:v>16.78947368421052</c:v>
                </c:pt>
                <c:pt idx="9">
                  <c:v>15.263157894736835</c:v>
                </c:pt>
                <c:pt idx="10">
                  <c:v>13.73684210526315</c:v>
                </c:pt>
                <c:pt idx="11">
                  <c:v>12.210526315789465</c:v>
                </c:pt>
                <c:pt idx="12">
                  <c:v>10.68421052631578</c:v>
                </c:pt>
                <c:pt idx="13">
                  <c:v>9.1578947368420955</c:v>
                </c:pt>
                <c:pt idx="14">
                  <c:v>7.6315789473684115</c:v>
                </c:pt>
                <c:pt idx="15">
                  <c:v>6.1052631578947274</c:v>
                </c:pt>
                <c:pt idx="16">
                  <c:v>4.5789473684210433</c:v>
                </c:pt>
                <c:pt idx="17">
                  <c:v>3.0526315789473593</c:v>
                </c:pt>
                <c:pt idx="18">
                  <c:v>1.526315789473675</c:v>
                </c:pt>
                <c:pt idx="19">
                  <c:v>-9.3258734068513149E-15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B64-460A-A4A9-5A827DBC7240}"/>
            </c:ext>
          </c:extLst>
        </c:ser>
        <c:ser>
          <c:idx val="20"/>
          <c:order val="1"/>
          <c:tx>
            <c:strRef>
              <c:f>Atividades!$A$22</c:f>
              <c:strCache>
                <c:ptCount val="1"/>
                <c:pt idx="0">
                  <c:v>Restante</c:v>
                </c:pt>
              </c:strCache>
            </c:strRef>
          </c:tx>
          <c:spPr>
            <a:ln w="317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Atividades!$B$1:$U$1</c:f>
              <c:strCache>
                <c:ptCount val="20"/>
                <c:pt idx="0">
                  <c:v>Total de atividades</c:v>
                </c:pt>
                <c:pt idx="1">
                  <c:v>23-jul</c:v>
                </c:pt>
                <c:pt idx="2">
                  <c:v>30/jul</c:v>
                </c:pt>
                <c:pt idx="3">
                  <c:v>06/ago</c:v>
                </c:pt>
                <c:pt idx="4">
                  <c:v>13/ago</c:v>
                </c:pt>
                <c:pt idx="5">
                  <c:v>20/ago</c:v>
                </c:pt>
                <c:pt idx="6">
                  <c:v>27/ago</c:v>
                </c:pt>
                <c:pt idx="7">
                  <c:v>03/set</c:v>
                </c:pt>
                <c:pt idx="8">
                  <c:v>10/set</c:v>
                </c:pt>
                <c:pt idx="9">
                  <c:v>17/set</c:v>
                </c:pt>
                <c:pt idx="10">
                  <c:v>24/set</c:v>
                </c:pt>
                <c:pt idx="11">
                  <c:v>01/out</c:v>
                </c:pt>
                <c:pt idx="12">
                  <c:v>08/out</c:v>
                </c:pt>
                <c:pt idx="13">
                  <c:v>15/out</c:v>
                </c:pt>
                <c:pt idx="14">
                  <c:v>22/out</c:v>
                </c:pt>
                <c:pt idx="15">
                  <c:v>29/out</c:v>
                </c:pt>
                <c:pt idx="16">
                  <c:v>05/nov</c:v>
                </c:pt>
                <c:pt idx="17">
                  <c:v>12/nov</c:v>
                </c:pt>
                <c:pt idx="18">
                  <c:v>26/nov</c:v>
                </c:pt>
                <c:pt idx="19">
                  <c:v>03/dez</c:v>
                </c:pt>
              </c:strCache>
            </c:strRef>
          </c:cat>
          <c:val>
            <c:numRef>
              <c:f>Atividades!$B$22:$U$22</c:f>
              <c:numCache>
                <c:formatCode>General</c:formatCode>
                <c:ptCount val="2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27</c:v>
                </c:pt>
                <c:pt idx="6">
                  <c:v>24</c:v>
                </c:pt>
                <c:pt idx="7">
                  <c:v>20</c:v>
                </c:pt>
                <c:pt idx="8">
                  <c:v>16</c:v>
                </c:pt>
                <c:pt idx="9">
                  <c:v>13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64-460A-A4A9-5A827DBC72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5442608"/>
        <c:axId val="385442936"/>
      </c:lineChart>
      <c:catAx>
        <c:axId val="38544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442936"/>
        <c:crosses val="autoZero"/>
        <c:auto val="1"/>
        <c:lblAlgn val="ctr"/>
        <c:lblOffset val="100"/>
        <c:noMultiLvlLbl val="0"/>
      </c:catAx>
      <c:valAx>
        <c:axId val="385442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854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Atividades!$A$21</c:f>
              <c:strCache>
                <c:ptCount val="1"/>
                <c:pt idx="0">
                  <c:v>Estimado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Atividades!$B$21:$U$21</c:f>
              <c:numCache>
                <c:formatCode>0</c:formatCode>
                <c:ptCount val="20"/>
                <c:pt idx="0">
                  <c:v>29</c:v>
                </c:pt>
                <c:pt idx="1">
                  <c:v>27.473684210526315</c:v>
                </c:pt>
                <c:pt idx="2">
                  <c:v>25.94736842105263</c:v>
                </c:pt>
                <c:pt idx="3">
                  <c:v>24.421052631578945</c:v>
                </c:pt>
                <c:pt idx="4">
                  <c:v>22.89473684210526</c:v>
                </c:pt>
                <c:pt idx="5">
                  <c:v>21.368421052631575</c:v>
                </c:pt>
                <c:pt idx="6">
                  <c:v>19.84210526315789</c:v>
                </c:pt>
                <c:pt idx="7">
                  <c:v>18.315789473684205</c:v>
                </c:pt>
                <c:pt idx="8">
                  <c:v>16.78947368421052</c:v>
                </c:pt>
                <c:pt idx="9">
                  <c:v>15.263157894736835</c:v>
                </c:pt>
                <c:pt idx="10">
                  <c:v>13.73684210526315</c:v>
                </c:pt>
                <c:pt idx="11">
                  <c:v>12.210526315789465</c:v>
                </c:pt>
                <c:pt idx="12">
                  <c:v>10.68421052631578</c:v>
                </c:pt>
                <c:pt idx="13">
                  <c:v>9.1578947368420955</c:v>
                </c:pt>
                <c:pt idx="14">
                  <c:v>7.6315789473684115</c:v>
                </c:pt>
                <c:pt idx="15">
                  <c:v>6.1052631578947274</c:v>
                </c:pt>
                <c:pt idx="16">
                  <c:v>4.5789473684210433</c:v>
                </c:pt>
                <c:pt idx="17">
                  <c:v>3.0526315789473593</c:v>
                </c:pt>
                <c:pt idx="18">
                  <c:v>1.526315789473675</c:v>
                </c:pt>
                <c:pt idx="19">
                  <c:v>-9.3258734068513149E-15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7-4B53-9839-686C53533DE0}"/>
            </c:ext>
          </c:extLst>
        </c:ser>
        <c:ser>
          <c:idx val="1"/>
          <c:order val="1"/>
          <c:tx>
            <c:strRef>
              <c:f>Atividades!$A$22</c:f>
              <c:strCache>
                <c:ptCount val="1"/>
                <c:pt idx="0">
                  <c:v>Restante</c:v>
                </c:pt>
              </c:strCache>
            </c:strRef>
          </c:tx>
          <c:spPr>
            <a:ln w="317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Atividades!$B$22:$U$22</c:f>
              <c:numCache>
                <c:formatCode>General</c:formatCode>
                <c:ptCount val="2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27</c:v>
                </c:pt>
                <c:pt idx="6">
                  <c:v>24</c:v>
                </c:pt>
                <c:pt idx="7">
                  <c:v>20</c:v>
                </c:pt>
                <c:pt idx="8">
                  <c:v>16</c:v>
                </c:pt>
                <c:pt idx="9">
                  <c:v>13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7-4B53-9839-686C53533D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5442608"/>
        <c:axId val="385442936"/>
      </c:lineChart>
      <c:catAx>
        <c:axId val="38544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442936"/>
        <c:crosses val="autoZero"/>
        <c:auto val="1"/>
        <c:lblAlgn val="ctr"/>
        <c:lblOffset val="100"/>
        <c:noMultiLvlLbl val="0"/>
      </c:catAx>
      <c:valAx>
        <c:axId val="385442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854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24</xdr:row>
      <xdr:rowOff>28574</xdr:rowOff>
    </xdr:from>
    <xdr:to>
      <xdr:col>16</xdr:col>
      <xdr:colOff>161925</xdr:colOff>
      <xdr:row>44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76199</xdr:rowOff>
    </xdr:from>
    <xdr:to>
      <xdr:col>18</xdr:col>
      <xdr:colOff>57150</xdr:colOff>
      <xdr:row>36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76200</xdr:rowOff>
    </xdr:from>
    <xdr:to>
      <xdr:col>13</xdr:col>
      <xdr:colOff>523874</xdr:colOff>
      <xdr:row>31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showGridLines="0" tabSelected="1" workbookViewId="0">
      <selection activeCell="L9" sqref="L9"/>
    </sheetView>
  </sheetViews>
  <sheetFormatPr defaultRowHeight="15"/>
  <cols>
    <col min="1" max="1" width="30.5703125" bestFit="1" customWidth="1"/>
    <col min="2" max="2" width="19.7109375" style="10" customWidth="1"/>
  </cols>
  <sheetData>
    <row r="1" spans="1:21">
      <c r="A1" s="6" t="s">
        <v>0</v>
      </c>
      <c r="B1" s="3" t="s">
        <v>1</v>
      </c>
      <c r="C1" s="5">
        <v>45496</v>
      </c>
      <c r="D1" s="4">
        <f>C1+7</f>
        <v>45503</v>
      </c>
      <c r="E1" s="4">
        <f t="shared" ref="E1:U1" si="0">D1+7</f>
        <v>45510</v>
      </c>
      <c r="F1" s="4">
        <f t="shared" si="0"/>
        <v>45517</v>
      </c>
      <c r="G1" s="4">
        <f t="shared" si="0"/>
        <v>45524</v>
      </c>
      <c r="H1" s="4">
        <f t="shared" si="0"/>
        <v>45531</v>
      </c>
      <c r="I1" s="4">
        <f t="shared" si="0"/>
        <v>45538</v>
      </c>
      <c r="J1" s="4">
        <f t="shared" si="0"/>
        <v>45545</v>
      </c>
      <c r="K1" s="4">
        <f t="shared" si="0"/>
        <v>45552</v>
      </c>
      <c r="L1" s="4">
        <f t="shared" si="0"/>
        <v>45559</v>
      </c>
      <c r="M1" s="4">
        <f t="shared" si="0"/>
        <v>45566</v>
      </c>
      <c r="N1" s="4">
        <f t="shared" si="0"/>
        <v>45573</v>
      </c>
      <c r="O1" s="11">
        <f t="shared" si="0"/>
        <v>45580</v>
      </c>
      <c r="P1" s="4">
        <f t="shared" si="0"/>
        <v>45587</v>
      </c>
      <c r="Q1" s="4">
        <f t="shared" si="0"/>
        <v>45594</v>
      </c>
      <c r="R1" s="4">
        <f t="shared" si="0"/>
        <v>45601</v>
      </c>
      <c r="S1" s="4">
        <f t="shared" si="0"/>
        <v>45608</v>
      </c>
      <c r="T1" s="4">
        <f>S1+14</f>
        <v>45622</v>
      </c>
      <c r="U1" s="4">
        <f t="shared" si="0"/>
        <v>45629</v>
      </c>
    </row>
    <row r="2" spans="1:21">
      <c r="A2" s="1" t="s">
        <v>2</v>
      </c>
      <c r="B2" s="8">
        <v>1</v>
      </c>
      <c r="C2" s="2"/>
      <c r="D2" s="2"/>
      <c r="E2" s="2"/>
      <c r="F2" s="2">
        <v>1</v>
      </c>
      <c r="G2" s="2"/>
      <c r="H2" s="2"/>
      <c r="I2" s="2"/>
      <c r="J2" s="2"/>
      <c r="K2" s="2"/>
      <c r="L2" s="2"/>
      <c r="M2" s="2"/>
      <c r="N2" s="2"/>
      <c r="O2" s="12"/>
      <c r="P2" s="2"/>
      <c r="Q2" s="2"/>
      <c r="R2" s="2"/>
      <c r="S2" s="2"/>
      <c r="T2" s="2"/>
      <c r="U2" s="2"/>
    </row>
    <row r="3" spans="1:21">
      <c r="A3" s="1" t="s">
        <v>3</v>
      </c>
      <c r="B3" s="8">
        <v>1</v>
      </c>
      <c r="C3" s="2"/>
      <c r="D3" s="2"/>
      <c r="E3" s="2"/>
      <c r="F3" s="2"/>
      <c r="G3" s="2">
        <v>1</v>
      </c>
      <c r="H3" s="2"/>
      <c r="I3" s="2"/>
      <c r="J3" s="2"/>
      <c r="K3" s="2"/>
      <c r="L3" s="2"/>
      <c r="M3" s="2"/>
      <c r="N3" s="2"/>
      <c r="O3" s="12"/>
      <c r="P3" s="2"/>
      <c r="Q3" s="2"/>
      <c r="R3" s="2"/>
      <c r="S3" s="2"/>
      <c r="T3" s="2"/>
      <c r="U3" s="2"/>
    </row>
    <row r="4" spans="1:21">
      <c r="A4" s="1" t="s">
        <v>4</v>
      </c>
      <c r="B4" s="8">
        <v>3</v>
      </c>
      <c r="C4" s="2"/>
      <c r="D4" s="2"/>
      <c r="E4" s="2"/>
      <c r="F4" s="2"/>
      <c r="G4" s="2"/>
      <c r="H4" s="2">
        <v>3</v>
      </c>
      <c r="I4" s="2"/>
      <c r="J4" s="2"/>
      <c r="K4" s="2"/>
      <c r="L4" s="2"/>
      <c r="M4" s="2"/>
      <c r="N4" s="2"/>
      <c r="O4" s="12"/>
      <c r="P4" s="2"/>
      <c r="Q4" s="2"/>
      <c r="R4" s="2"/>
      <c r="S4" s="2"/>
      <c r="T4" s="2"/>
      <c r="U4" s="2"/>
    </row>
    <row r="5" spans="1:21">
      <c r="A5" s="1" t="s">
        <v>5</v>
      </c>
      <c r="B5" s="8">
        <v>4</v>
      </c>
      <c r="C5" s="2"/>
      <c r="D5" s="2"/>
      <c r="E5" s="2"/>
      <c r="F5" s="2"/>
      <c r="G5" s="2"/>
      <c r="H5" s="2"/>
      <c r="I5" s="2">
        <v>4</v>
      </c>
      <c r="J5" s="2"/>
      <c r="K5" s="2"/>
      <c r="L5" s="2"/>
      <c r="M5" s="2"/>
      <c r="N5" s="2"/>
      <c r="O5" s="12"/>
      <c r="P5" s="2"/>
      <c r="Q5" s="2"/>
      <c r="R5" s="2"/>
      <c r="S5" s="2"/>
      <c r="T5" s="2"/>
      <c r="U5" s="2"/>
    </row>
    <row r="6" spans="1:21">
      <c r="A6" s="1" t="s">
        <v>6</v>
      </c>
      <c r="B6" s="8">
        <v>4</v>
      </c>
      <c r="C6" s="2"/>
      <c r="D6" s="2"/>
      <c r="E6" s="2"/>
      <c r="F6" s="2"/>
      <c r="G6" s="2"/>
      <c r="H6" s="2"/>
      <c r="I6" s="2"/>
      <c r="J6" s="2">
        <v>4</v>
      </c>
      <c r="K6" s="2"/>
      <c r="L6" s="2"/>
      <c r="M6" s="2"/>
      <c r="N6" s="2"/>
      <c r="O6" s="12"/>
      <c r="P6" s="2"/>
      <c r="Q6" s="2"/>
      <c r="R6" s="2"/>
      <c r="S6" s="2"/>
      <c r="T6" s="2"/>
      <c r="U6" s="2"/>
    </row>
    <row r="7" spans="1:21">
      <c r="A7" s="1" t="s">
        <v>7</v>
      </c>
      <c r="B7" s="8">
        <v>3</v>
      </c>
      <c r="C7" s="2"/>
      <c r="D7" s="2"/>
      <c r="E7" s="2"/>
      <c r="F7" s="2"/>
      <c r="G7" s="2"/>
      <c r="H7" s="2"/>
      <c r="I7" s="2"/>
      <c r="J7" s="2"/>
      <c r="K7" s="2">
        <v>3</v>
      </c>
      <c r="L7" s="2"/>
      <c r="M7" s="2"/>
      <c r="N7" s="2"/>
      <c r="O7" s="12"/>
      <c r="P7" s="2"/>
      <c r="Q7" s="2"/>
      <c r="R7" s="2"/>
      <c r="S7" s="2"/>
      <c r="T7" s="2"/>
      <c r="U7" s="2"/>
    </row>
    <row r="8" spans="1:21">
      <c r="A8" s="1" t="s">
        <v>8</v>
      </c>
      <c r="B8" s="8">
        <v>3</v>
      </c>
      <c r="C8" s="2"/>
      <c r="D8" s="2"/>
      <c r="E8" s="2"/>
      <c r="F8" s="2"/>
      <c r="G8" s="2"/>
      <c r="H8" s="2"/>
      <c r="I8" s="2"/>
      <c r="J8" s="2"/>
      <c r="K8" s="2"/>
      <c r="L8" s="2">
        <v>3</v>
      </c>
      <c r="M8" s="2"/>
      <c r="N8" s="2"/>
      <c r="O8" s="12"/>
      <c r="P8" s="2"/>
      <c r="Q8" s="2"/>
      <c r="R8" s="2"/>
      <c r="S8" s="2"/>
      <c r="T8" s="2"/>
      <c r="U8" s="2"/>
    </row>
    <row r="9" spans="1:21">
      <c r="A9" s="1" t="s">
        <v>9</v>
      </c>
      <c r="B9" s="8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2"/>
      <c r="P9" s="2"/>
      <c r="Q9" s="2"/>
      <c r="R9" s="2"/>
      <c r="S9" s="2"/>
      <c r="T9" s="2"/>
      <c r="U9" s="2"/>
    </row>
    <row r="10" spans="1:21">
      <c r="A10" s="1" t="s">
        <v>10</v>
      </c>
      <c r="B10" s="8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2"/>
      <c r="P10" s="2"/>
      <c r="Q10" s="2"/>
      <c r="R10" s="2"/>
      <c r="S10" s="2"/>
      <c r="T10" s="2"/>
      <c r="U10" s="2"/>
    </row>
    <row r="11" spans="1:21">
      <c r="A11" s="1" t="s">
        <v>11</v>
      </c>
      <c r="B11" s="8">
        <v>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2"/>
      <c r="P11" s="2"/>
      <c r="Q11" s="2"/>
      <c r="R11" s="2"/>
      <c r="S11" s="2"/>
      <c r="T11" s="2"/>
      <c r="U11" s="2"/>
    </row>
    <row r="12" spans="1:21">
      <c r="A12" s="1" t="s">
        <v>12</v>
      </c>
      <c r="B12" s="8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2"/>
      <c r="P12" s="2"/>
      <c r="Q12" s="2"/>
      <c r="R12" s="2"/>
      <c r="S12" s="2"/>
      <c r="T12" s="2"/>
      <c r="U12" s="2"/>
    </row>
    <row r="13" spans="1:21">
      <c r="A13" s="1" t="s">
        <v>13</v>
      </c>
      <c r="B13" s="8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2"/>
      <c r="P13" s="2"/>
      <c r="Q13" s="2"/>
      <c r="R13" s="2"/>
      <c r="S13" s="2"/>
      <c r="T13" s="2"/>
      <c r="U13" s="2"/>
    </row>
    <row r="14" spans="1:21">
      <c r="A14" s="1" t="s">
        <v>14</v>
      </c>
      <c r="B14" s="8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2"/>
      <c r="P14" s="2"/>
      <c r="Q14" s="2"/>
      <c r="R14" s="2"/>
      <c r="S14" s="2"/>
      <c r="T14" s="2"/>
      <c r="U14" s="2"/>
    </row>
    <row r="15" spans="1:21">
      <c r="A15" s="1"/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2"/>
      <c r="P15" s="2"/>
      <c r="Q15" s="2"/>
      <c r="R15" s="2"/>
      <c r="S15" s="2"/>
      <c r="T15" s="2"/>
      <c r="U15" s="2"/>
    </row>
    <row r="16" spans="1:21">
      <c r="A16" s="1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  <c r="Q16" s="2"/>
      <c r="R16" s="2"/>
      <c r="S16" s="2"/>
      <c r="T16" s="2"/>
      <c r="U16" s="2"/>
    </row>
    <row r="17" spans="1:21">
      <c r="A17" s="1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2"/>
      <c r="P17" s="2"/>
      <c r="Q17" s="2"/>
      <c r="R17" s="2"/>
      <c r="S17" s="2"/>
      <c r="T17" s="2"/>
      <c r="U17" s="2"/>
    </row>
    <row r="18" spans="1:21">
      <c r="A18" s="1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2"/>
      <c r="P18" s="2"/>
      <c r="Q18" s="2"/>
      <c r="R18" s="2"/>
      <c r="S18" s="2"/>
      <c r="T18" s="2"/>
      <c r="U18" s="2"/>
    </row>
    <row r="19" spans="1:21">
      <c r="A19" s="1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2"/>
      <c r="P19" s="2"/>
      <c r="Q19" s="2"/>
      <c r="R19" s="2"/>
      <c r="S19" s="2"/>
      <c r="T19" s="2"/>
      <c r="U19" s="2"/>
    </row>
    <row r="20" spans="1:21">
      <c r="A20" s="1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2"/>
      <c r="P20" s="2"/>
      <c r="Q20" s="2"/>
      <c r="R20" s="2"/>
      <c r="S20" s="2"/>
      <c r="T20" s="2"/>
      <c r="U20" s="2"/>
    </row>
    <row r="21" spans="1:21">
      <c r="A21" s="1" t="s">
        <v>15</v>
      </c>
      <c r="B21" s="9">
        <f>SUM($B$2:$B$20)</f>
        <v>29</v>
      </c>
      <c r="C21" s="7">
        <f t="shared" ref="C21:U21" si="1">B21-($B$21/COUNTA($C$1:$U$1))</f>
        <v>27.473684210526315</v>
      </c>
      <c r="D21" s="7">
        <f t="shared" si="1"/>
        <v>25.94736842105263</v>
      </c>
      <c r="E21" s="7">
        <f t="shared" si="1"/>
        <v>24.421052631578945</v>
      </c>
      <c r="F21" s="7">
        <f t="shared" si="1"/>
        <v>22.89473684210526</v>
      </c>
      <c r="G21" s="7">
        <f t="shared" si="1"/>
        <v>21.368421052631575</v>
      </c>
      <c r="H21" s="7">
        <f t="shared" si="1"/>
        <v>19.84210526315789</v>
      </c>
      <c r="I21" s="7">
        <f t="shared" si="1"/>
        <v>18.315789473684205</v>
      </c>
      <c r="J21" s="7">
        <f t="shared" si="1"/>
        <v>16.78947368421052</v>
      </c>
      <c r="K21" s="7">
        <f t="shared" si="1"/>
        <v>15.263157894736835</v>
      </c>
      <c r="L21" s="7">
        <f t="shared" si="1"/>
        <v>13.73684210526315</v>
      </c>
      <c r="M21" s="7">
        <f t="shared" si="1"/>
        <v>12.210526315789465</v>
      </c>
      <c r="N21" s="7">
        <f t="shared" si="1"/>
        <v>10.68421052631578</v>
      </c>
      <c r="O21" s="13">
        <f t="shared" si="1"/>
        <v>9.1578947368420955</v>
      </c>
      <c r="P21" s="7">
        <f t="shared" si="1"/>
        <v>7.6315789473684115</v>
      </c>
      <c r="Q21" s="7">
        <f t="shared" si="1"/>
        <v>6.1052631578947274</v>
      </c>
      <c r="R21" s="7">
        <f t="shared" si="1"/>
        <v>4.5789473684210433</v>
      </c>
      <c r="S21" s="7">
        <f t="shared" si="1"/>
        <v>3.0526315789473593</v>
      </c>
      <c r="T21" s="7">
        <f t="shared" si="1"/>
        <v>1.526315789473675</v>
      </c>
      <c r="U21" s="7">
        <f t="shared" si="1"/>
        <v>-9.3258734068513149E-15</v>
      </c>
    </row>
    <row r="22" spans="1:21">
      <c r="A22" s="1" t="s">
        <v>16</v>
      </c>
      <c r="B22" s="8">
        <f>SUM($B$2:$B$20)</f>
        <v>29</v>
      </c>
      <c r="C22" s="2">
        <f>IF(SUM(C2:C20)&gt;0,B22-SUM(C2:C20),B22)</f>
        <v>29</v>
      </c>
      <c r="D22" s="2">
        <f t="shared" ref="D22:U22" si="2">IF(SUM(D2:D20)&gt;0,C22-SUM(D2:D20),C22)</f>
        <v>29</v>
      </c>
      <c r="E22" s="2">
        <f t="shared" si="2"/>
        <v>29</v>
      </c>
      <c r="F22" s="2">
        <f t="shared" si="2"/>
        <v>28</v>
      </c>
      <c r="G22" s="2">
        <f t="shared" si="2"/>
        <v>27</v>
      </c>
      <c r="H22" s="2">
        <f t="shared" si="2"/>
        <v>24</v>
      </c>
      <c r="I22" s="2">
        <f t="shared" si="2"/>
        <v>20</v>
      </c>
      <c r="J22" s="2">
        <f t="shared" si="2"/>
        <v>16</v>
      </c>
      <c r="K22" s="2">
        <f t="shared" si="2"/>
        <v>13</v>
      </c>
      <c r="L22" s="2">
        <f t="shared" si="2"/>
        <v>10</v>
      </c>
      <c r="M22" s="2">
        <f t="shared" si="2"/>
        <v>10</v>
      </c>
      <c r="N22" s="2">
        <f t="shared" si="2"/>
        <v>10</v>
      </c>
      <c r="O22" s="12">
        <f t="shared" si="2"/>
        <v>10</v>
      </c>
      <c r="P22" s="2">
        <f t="shared" si="2"/>
        <v>10</v>
      </c>
      <c r="Q22" s="2">
        <f t="shared" si="2"/>
        <v>10</v>
      </c>
      <c r="R22" s="2">
        <f t="shared" si="2"/>
        <v>10</v>
      </c>
      <c r="S22" s="2">
        <f t="shared" si="2"/>
        <v>10</v>
      </c>
      <c r="T22" s="2">
        <f t="shared" si="2"/>
        <v>10</v>
      </c>
      <c r="U22" s="2">
        <f t="shared" si="2"/>
        <v>10</v>
      </c>
    </row>
    <row r="23" spans="1:21">
      <c r="A23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workbookViewId="0">
      <selection activeCell="W30" sqref="W30"/>
    </sheetView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workbookViewId="0">
      <selection activeCell="U18" sqref="U18"/>
    </sheetView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007d2-b277-401d-933b-2d80fbe4bb82">
      <Terms xmlns="http://schemas.microsoft.com/office/infopath/2007/PartnerControls"/>
    </lcf76f155ced4ddcb4097134ff3c332f>
    <TaxCatchAll xmlns="84a3c582-7c03-4777-8207-6b1c8dcee9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C008FCA1695847BD43D8DA3022D601" ma:contentTypeVersion="10" ma:contentTypeDescription="Crie um novo documento." ma:contentTypeScope="" ma:versionID="922b5e973bf12651d2958e3def79b1bb">
  <xsd:schema xmlns:xsd="http://www.w3.org/2001/XMLSchema" xmlns:xs="http://www.w3.org/2001/XMLSchema" xmlns:p="http://schemas.microsoft.com/office/2006/metadata/properties" xmlns:ns2="cab007d2-b277-401d-933b-2d80fbe4bb82" xmlns:ns3="84a3c582-7c03-4777-8207-6b1c8dcee97a" targetNamespace="http://schemas.microsoft.com/office/2006/metadata/properties" ma:root="true" ma:fieldsID="9b4c2bd07d5e83dbab32f7968c247d99" ns2:_="" ns3:_="">
    <xsd:import namespace="cab007d2-b277-401d-933b-2d80fbe4bb82"/>
    <xsd:import namespace="84a3c582-7c03-4777-8207-6b1c8dcee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007d2-b277-401d-933b-2d80fbe4b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14fbfa-5ced-4307-b76a-786f22ad6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3c582-7c03-4777-8207-6b1c8dcee9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f0c008-efa1-4199-b0cc-a64b7ee8151d}" ma:internalName="TaxCatchAll" ma:showField="CatchAllData" ma:web="84a3c582-7c03-4777-8207-6b1c8dcee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23C8E-C9CA-4757-A291-89986C4B311C}"/>
</file>

<file path=customXml/itemProps2.xml><?xml version="1.0" encoding="utf-8"?>
<ds:datastoreItem xmlns:ds="http://schemas.openxmlformats.org/officeDocument/2006/customXml" ds:itemID="{1CC09760-6941-4F34-B5B7-1A95CD9B2445}"/>
</file>

<file path=customXml/itemProps3.xml><?xml version="1.0" encoding="utf-8"?>
<ds:datastoreItem xmlns:ds="http://schemas.openxmlformats.org/officeDocument/2006/customXml" ds:itemID="{531BC6A6-F583-4F69-B428-34B906491D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Rieper</dc:creator>
  <cp:keywords/>
  <dc:description/>
  <cp:lastModifiedBy>CAIKE DA CRUZ BATISTA</cp:lastModifiedBy>
  <cp:revision/>
  <dcterms:created xsi:type="dcterms:W3CDTF">2016-06-19T15:11:06Z</dcterms:created>
  <dcterms:modified xsi:type="dcterms:W3CDTF">2025-10-29T23:12:52Z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0x01010034C008FCA1695847BD43D8DA3022D601</vt:lpwstr>
  </property>
  <property fmtid="{D5CDD505-2E9C-101B-9397-08002B2CF9AE}" pid="3" name="MediaServiceImageTags">
    <vt:lpwstr/>
  </property>
</Properties>
</file>